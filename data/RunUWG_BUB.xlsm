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m\UWG4.1\data\"/>
    </mc:Choice>
  </mc:AlternateContent>
  <workbookProtection lockStructure="1"/>
  <bookViews>
    <workbookView xWindow="0" yWindow="0" windowWidth="20490" windowHeight="9045"/>
  </bookViews>
  <sheets>
    <sheet name="Summary" sheetId="3" r:id="rId1"/>
    <sheet name="DOE_Reference" sheetId="6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3" l="1"/>
  <c r="R21" i="3" l="1"/>
  <c r="AC20" i="3"/>
  <c r="AE20" i="3"/>
  <c r="AD20" i="3"/>
  <c r="T18" i="3" l="1"/>
  <c r="D24" i="3" l="1"/>
  <c r="AA3" i="3" l="1"/>
  <c r="O20" i="3"/>
  <c r="T8" i="3" l="1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 l="1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<sst xmlns="http://schemas.openxmlformats.org/spreadsheetml/2006/main" count="366" uniqueCount="285">
  <si>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</si>
  <si>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</si>
  <si>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</si>
  <si>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</si>
  <si>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</si>
  <si>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</si>
  <si>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</si>
  <si>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</si>
  <si>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</si>
  <si>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</si>
  <si>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</si>
  <si>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</si>
  <si>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</si>
  <si>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</si>
  <si>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</si>
  <si>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</si>
  <si>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</si>
  <si>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</si>
  <si>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</si>
  <si>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</si>
  <si>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</si>
  <si>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</si>
  <si>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</si>
  <si>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</si>
  <si>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</si>
  <si>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</si>
  <si>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</si>
  <si>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</si>
  <si>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</si>
  <si>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</si>
  <si>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</si>
  <si>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</si>
  <si>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</si>
  <si>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</si>
  <si>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</si>
  <si>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</si>
  <si>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</si>
  <si>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</si>
  <si>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</si>
  <si>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</si>
  <si>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</si>
  <si>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</si>
  <si>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</si>
  <si>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</si>
  <si>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</si>
  <si>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</si>
  <si>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</si>
  <si>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</si>
  <si>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</si>
  <si>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</si>
  <si>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</si>
  <si>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</si>
  <si>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</si>
  <si>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</si>
  <si>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</si>
  <si>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</si>
  <si>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</si>
  <si>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</si>
  <si>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</si>
  <si>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</si>
  <si>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</si>
  <si>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</si>
  <si>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</si>
  <si>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</si>
  <si>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</si>
  <si>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</si>
  <si>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</si>
  <si>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</si>
  <si>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</si>
  <si>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</si>
  <si>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</si>
  <si>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</si>
  <si>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</si>
  <si>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</si>
  <si>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</si>
  <si>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</si>
  <si>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</si>
  <si>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</si>
  <si>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</si>
  <si>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</si>
  <si>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</si>
  <si>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</si>
  <si>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</si>
  <si>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</si>
  <si>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</si>
  <si>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</si>
  <si>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</si>
  <si>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</si>
  <si>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</si>
  <si>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</si>
  <si>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</si>
  <si>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</si>
  <si>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</si>
  <si>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</si>
  <si>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</si>
  <si>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</si>
  <si>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</si>
  <si>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</si>
  <si>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</si>
  <si>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</si>
  <si>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</si>
  <si>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</si>
  <si>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</si>
  <si>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</si>
  <si>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</si>
  <si>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</si>
  <si>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</si>
  <si>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</si>
  <si>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</si>
  <si>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</si>
  <si>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</si>
  <si>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</si>
  <si>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</si>
  <si>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</si>
  <si>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</si>
  <si>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</si>
  <si>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</si>
  <si>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</si>
  <si>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</si>
  <si>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</si>
  <si>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</si>
  <si>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</si>
  <si>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</si>
  <si>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</si>
  <si>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</si>
  <si>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</si>
  <si>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</si>
  <si>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</si>
  <si>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</si>
  <si>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</si>
  <si>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</si>
  <si>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</si>
  <si>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</si>
  <si>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</si>
  <si>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</si>
  <si>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</si>
  <si>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</si>
  <si>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</si>
  <si>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</si>
  <si>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</si>
  <si>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</si>
  <si>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</si>
  <si>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</si>
  <si>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</si>
  <si>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</si>
  <si>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</si>
  <si>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</si>
  <si>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</si>
  <si>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</si>
  <si>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</si>
  <si>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</si>
  <si>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</si>
  <si>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</si>
  <si>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</si>
  <si>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</si>
  <si>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</si>
  <si>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</si>
  <si>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</si>
  <si>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</si>
  <si>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</si>
  <si>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</si>
  <si>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</si>
  <si>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</si>
  <si>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</si>
  <si>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</si>
  <si>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</si>
  <si>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</si>
  <si>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</si>
  <si>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</si>
  <si>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</si>
  <si>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</si>
  <si>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</si>
  <si>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</si>
  <si>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</si>
  <si>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</si>
  <si>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</si>
  <si>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</si>
  <si>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</si>
  <si>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</si>
  <si>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</si>
  <si>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</si>
  <si>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</si>
  <si>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</si>
  <si>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</si>
  <si>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</si>
  <si>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</si>
  <si>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</si>
  <si>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</si>
  <si>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</si>
  <si>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</si>
  <si>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</si>
  <si>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</si>
  <si>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</si>
  <si>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</si>
  <si>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r>
      <t>Total Floor 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</si>
  <si>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</si>
  <si>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</si>
  <si>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DOE Building Type</t>
  </si>
  <si>
    <t>WD</t>
  </si>
  <si>
    <t>Sat</t>
  </si>
  <si>
    <t>Sun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</si>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</sst>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"/>
    <numFmt numFmtId="166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0" xfId="0" applyFill="1" applyBorder="1"/>
    <xf numFmtId="0" fontId="4" fillId="0" borderId="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/>
    </xf>
    <xf numFmtId="0" fontId="0" fillId="0" borderId="10" xfId="0" applyBorder="1"/>
    <xf numFmtId="3" fontId="0" fillId="2" borderId="0" xfId="0" applyNumberForma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3" fontId="0" fillId="2" borderId="4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11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5" xfId="0" applyFill="1" applyBorder="1"/>
    <xf numFmtId="0" fontId="0" fillId="0" borderId="7" xfId="0" applyFill="1" applyBorder="1"/>
    <xf numFmtId="0" fontId="4" fillId="0" borderId="0" xfId="0" applyFont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4" fillId="0" borderId="0" xfId="0" applyFont="1" applyBorder="1"/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8" xfId="0" applyFont="1" applyBorder="1" applyAlignment="1">
      <alignment horizontal="right"/>
    </xf>
    <xf numFmtId="0" fontId="1" fillId="2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8" xfId="0" applyBorder="1"/>
    <xf numFmtId="0" fontId="1" fillId="0" borderId="8" xfId="0" applyFont="1" applyBorder="1" applyAlignment="1">
      <alignment horizontal="right"/>
    </xf>
    <xf numFmtId="3" fontId="1" fillId="4" borderId="8" xfId="0" applyNumberFormat="1" applyFont="1" applyFill="1" applyBorder="1"/>
    <xf numFmtId="0" fontId="1" fillId="4" borderId="0" xfId="0" applyFont="1" applyFill="1"/>
    <xf numFmtId="3" fontId="0" fillId="2" borderId="9" xfId="0" applyNumberFormat="1" applyFill="1" applyBorder="1" applyAlignment="1">
      <alignment horizontal="center"/>
    </xf>
    <xf numFmtId="3" fontId="0" fillId="2" borderId="10" xfId="0" applyNumberFormat="1" applyFill="1" applyBorder="1" applyAlignment="1">
      <alignment horizontal="center"/>
    </xf>
    <xf numFmtId="3" fontId="0" fillId="2" borderId="11" xfId="0" applyNumberForma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3" fontId="0" fillId="2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Border="1" applyAlignment="1">
      <alignment horizontal="right"/>
    </xf>
    <xf numFmtId="3" fontId="1" fillId="4" borderId="0" xfId="0" applyNumberFormat="1" applyFont="1" applyFill="1" applyBorder="1"/>
    <xf numFmtId="16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2" fontId="0" fillId="0" borderId="0" xfId="0" applyNumberFormat="1"/>
    <xf numFmtId="166" fontId="0" fillId="4" borderId="9" xfId="0" applyNumberFormat="1" applyFill="1" applyBorder="1" applyAlignment="1">
      <alignment horizontal="center"/>
    </xf>
    <xf numFmtId="166" fontId="0" fillId="4" borderId="10" xfId="0" applyNumberFormat="1" applyFill="1" applyBorder="1" applyAlignment="1">
      <alignment horizontal="center"/>
    </xf>
    <xf numFmtId="166" fontId="0" fillId="4" borderId="11" xfId="0" applyNumberFormat="1" applyFill="1" applyBorder="1" applyAlignment="1">
      <alignment horizontal="center"/>
    </xf>
    <xf numFmtId="166" fontId="0" fillId="4" borderId="4" xfId="0" applyNumberForma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166" fontId="0" fillId="4" borderId="5" xfId="0" applyNumberFormat="1" applyFill="1" applyBorder="1" applyAlignment="1">
      <alignment horizontal="center"/>
    </xf>
    <xf numFmtId="166" fontId="0" fillId="4" borderId="6" xfId="0" applyNumberFormat="1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4" borderId="7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5" borderId="3" xfId="0" applyNumberForma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3" fontId="0" fillId="2" borderId="5" xfId="0" applyNumberFormat="1" applyFont="1" applyFill="1" applyBorder="1" applyAlignment="1">
      <alignment horizontal="center"/>
    </xf>
    <xf numFmtId="3" fontId="0" fillId="2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1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0" fillId="0" borderId="6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4" fontId="1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0.7</c:v>
                </c:pt>
                <c:pt idx="7">
                  <c:v>0.9</c:v>
                </c:pt>
                <c:pt idx="8">
                  <c:v>0.9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0.7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0.5</c:v>
                </c:pt>
                <c:pt idx="20">
                  <c:v>0.4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Sun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0.3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0" zoomScaleNormal="80" workbookViewId="0">
      <selection activeCell="C9" sqref="C9"/>
    </sheetView>
  </sheetViews>
  <sheetFormatPr defaultRowHeight="15" x14ac:dyDescent="0.25"/>
  <cols>
    <col min="1" max="1" width="1.42578125" customWidth="1"/>
    <col min="2" max="2" width="14.140625" customWidth="1"/>
    <col min="3" max="3" width="40.7109375" customWidth="1"/>
    <col min="4" max="4" width="7.140625" customWidth="1"/>
    <col min="5" max="5" width="7.42578125" customWidth="1"/>
    <col min="6" max="6" width="2" customWidth="1"/>
    <col min="7" max="7" width="3.42578125" customWidth="1"/>
    <col min="8" max="10" width="4.85546875" customWidth="1"/>
    <col min="11" max="11" width="2.140625" customWidth="1"/>
    <col min="12" max="12" width="6.85546875" customWidth="1"/>
    <col min="13" max="13" width="25.85546875" customWidth="1"/>
    <col min="14" max="14" width="7.42578125" customWidth="1"/>
    <col min="15" max="15" width="10.85546875" customWidth="1"/>
    <col min="16" max="18" width="15.140625" customWidth="1"/>
    <col min="19" max="21" width="12.28515625" customWidth="1"/>
    <col min="22" max="22" width="3.85546875" customWidth="1"/>
    <col min="23" max="24" width="10.140625" customWidth="1"/>
    <col min="25" max="25" width="9.140625" customWidth="1"/>
    <col min="26" max="26" width="13.28515625" customWidth="1"/>
    <col min="27" max="27" width="9.140625" customWidth="1"/>
    <col min="28" max="28" width="25.28515625" customWidth="1"/>
    <col min="29" max="31" width="14.7109375" customWidth="1"/>
  </cols>
  <sheetData>
    <row r="1" spans="2:31" ht="6.75" customHeight="1" x14ac:dyDescent="0.25"/>
    <row r="2" spans="2:31" ht="17.25" x14ac:dyDescent="0.25">
      <c r="B2" s="102" t="s">
        <v>201</v>
      </c>
      <c r="C2" s="102"/>
      <c r="D2" s="102"/>
      <c r="E2" s="102"/>
      <c r="G2" s="102" t="s">
        <v>202</v>
      </c>
      <c r="H2" s="102"/>
      <c r="I2" s="102"/>
      <c r="J2" s="102"/>
      <c r="L2" s="102" t="s">
        <v>203</v>
      </c>
      <c r="M2" s="102"/>
      <c r="N2" s="102"/>
      <c r="O2" s="102"/>
      <c r="P2" s="113" t="s">
        <v>194</v>
      </c>
      <c r="Q2" s="113"/>
      <c r="R2" s="113"/>
      <c r="S2" s="113" t="s">
        <v>254</v>
      </c>
      <c r="T2" s="113"/>
      <c r="U2" s="113"/>
      <c r="Y2" s="117" t="s">
        <v>221</v>
      </c>
      <c r="Z2" s="117"/>
      <c r="AA2" s="1">
        <f>COUNT(S4:U19)</f>
        <v>48</v>
      </c>
    </row>
    <row r="3" spans="2:31" ht="17.25" x14ac:dyDescent="0.25">
      <c r="B3" s="103" t="s">
        <v>181</v>
      </c>
      <c r="C3" s="104"/>
      <c r="D3" s="35" t="s">
        <v>173</v>
      </c>
      <c r="E3" s="36" t="s">
        <v>167</v>
      </c>
      <c r="F3" s="7"/>
      <c r="G3" s="9" t="s">
        <v>189</v>
      </c>
      <c r="H3" s="20" t="s">
        <v>198</v>
      </c>
      <c r="I3" s="20" t="s">
        <v>199</v>
      </c>
      <c r="J3" s="10" t="s">
        <v>200</v>
      </c>
      <c r="K3" s="4"/>
      <c r="L3" s="9" t="s">
        <v>134</v>
      </c>
      <c r="M3" s="13" t="s">
        <v>197</v>
      </c>
      <c r="N3" s="13" t="s">
        <v>193</v>
      </c>
      <c r="O3" s="13" t="s">
        <v>195</v>
      </c>
      <c r="P3" s="24" t="s">
        <v>17</v>
      </c>
      <c r="Q3" s="18" t="s">
        <v>34</v>
      </c>
      <c r="R3" s="25" t="s">
        <v>35</v>
      </c>
      <c r="S3" s="13" t="s">
        <v>17</v>
      </c>
      <c r="T3" s="13" t="s">
        <v>34</v>
      </c>
      <c r="U3" s="14" t="s">
        <v>35</v>
      </c>
      <c r="Y3" s="117" t="s">
        <v>210</v>
      </c>
      <c r="Z3" s="117"/>
      <c r="AA3" s="55">
        <f>VLOOKUP(N20,Y4:AA19,3,0)</f>
        <v>11</v>
      </c>
      <c r="AB3" t="s">
        <v>16</v>
      </c>
      <c r="AC3" t="s">
        <v>246</v>
      </c>
      <c r="AD3" t="s">
        <v>247</v>
      </c>
      <c r="AE3" t="s">
        <v>248</v>
      </c>
    </row>
    <row r="4" spans="2:31" ht="15" customHeight="1" x14ac:dyDescent="0.25">
      <c r="B4" s="97" t="s">
        <v>262</v>
      </c>
      <c r="C4" s="40" t="s">
        <v>169</v>
      </c>
      <c r="D4" s="30">
        <v>1000</v>
      </c>
      <c r="E4" s="31" t="s">
        <v>168</v>
      </c>
      <c r="F4" s="3"/>
      <c r="G4" s="11">
        <v>1</v>
      </c>
      <c r="H4" s="37">
        <v>0.2</v>
      </c>
      <c r="I4" s="32">
        <v>0.2</v>
      </c>
      <c r="J4" s="32">
        <v>0.2</v>
      </c>
      <c r="L4" s="11" t="s">
        <v>135</v>
      </c>
      <c r="M4" s="15" t="s">
        <v>151</v>
      </c>
      <c r="N4" s="19">
        <v>1</v>
      </c>
      <c r="O4" s="21">
        <v>511</v>
      </c>
      <c r="P4" s="56">
        <v>0</v>
      </c>
      <c r="Q4" s="57">
        <v>0</v>
      </c>
      <c r="R4" s="58">
        <v>0</v>
      </c>
      <c r="S4" s="70">
        <f>IF(P4&gt;0,P4/SUM($P$4:$R$19),0)</f>
        <v>0</v>
      </c>
      <c r="T4" s="71">
        <f t="shared" ref="T4:U19" si="0">IF(Q4&gt;0,Q4/SUM($P$4:$R$19),0)</f>
        <v>0</v>
      </c>
      <c r="U4" s="72">
        <f t="shared" si="0"/>
        <v>0</v>
      </c>
      <c r="Y4" s="2" t="s">
        <v>0</v>
      </c>
      <c r="Z4" t="s">
        <v>18</v>
      </c>
      <c r="AA4">
        <v>1</v>
      </c>
      <c r="AB4" s="15" t="s">
        <v>151</v>
      </c>
      <c r="AC4" s="57">
        <v>250000</v>
      </c>
      <c r="AD4" s="57">
        <v>25000</v>
      </c>
      <c r="AE4" s="57">
        <v>25000</v>
      </c>
    </row>
    <row r="5" spans="2:31" x14ac:dyDescent="0.25">
      <c r="B5" s="98"/>
      <c r="C5" s="41" t="s">
        <v>170</v>
      </c>
      <c r="D5" s="28">
        <v>50</v>
      </c>
      <c r="E5" s="16" t="s">
        <v>168</v>
      </c>
      <c r="F5" s="3"/>
      <c r="G5" s="11">
        <v>2</v>
      </c>
      <c r="H5" s="38">
        <v>0.2</v>
      </c>
      <c r="I5" s="32">
        <v>0.2</v>
      </c>
      <c r="J5" s="32">
        <v>0.2</v>
      </c>
      <c r="L5" s="11" t="s">
        <v>136</v>
      </c>
      <c r="M5" s="15" t="s">
        <v>152</v>
      </c>
      <c r="N5" s="19">
        <v>5</v>
      </c>
      <c r="O5" s="21">
        <v>22422</v>
      </c>
      <c r="P5" s="26">
        <v>0</v>
      </c>
      <c r="Q5" s="23">
        <v>0</v>
      </c>
      <c r="R5" s="27">
        <v>0</v>
      </c>
      <c r="S5" s="73">
        <f t="shared" ref="S5:S19" si="1">IF(P5&gt;0,P5/SUM($P$4:$R$19),0)</f>
        <v>0</v>
      </c>
      <c r="T5" s="74">
        <f t="shared" si="0"/>
        <v>0</v>
      </c>
      <c r="U5" s="75">
        <f t="shared" si="0"/>
        <v>0</v>
      </c>
      <c r="Y5" s="2" t="s">
        <v>1</v>
      </c>
      <c r="Z5" t="s">
        <v>19</v>
      </c>
      <c r="AA5">
        <v>2</v>
      </c>
      <c r="AB5" s="15" t="s">
        <v>152</v>
      </c>
      <c r="AC5" s="23">
        <v>100000</v>
      </c>
      <c r="AD5" s="23">
        <v>20000</v>
      </c>
      <c r="AE5" s="23">
        <v>20000</v>
      </c>
    </row>
    <row r="6" spans="2:31" x14ac:dyDescent="0.25">
      <c r="B6" s="98"/>
      <c r="C6" s="42" t="s">
        <v>231</v>
      </c>
      <c r="D6" s="28">
        <v>150</v>
      </c>
      <c r="E6" s="34" t="s">
        <v>168</v>
      </c>
      <c r="F6" s="3"/>
      <c r="G6" s="11">
        <v>3</v>
      </c>
      <c r="H6" s="38">
        <v>0.2</v>
      </c>
      <c r="I6" s="32">
        <v>0.2</v>
      </c>
      <c r="J6" s="32">
        <v>0.2</v>
      </c>
      <c r="L6" s="11" t="s">
        <v>137</v>
      </c>
      <c r="M6" s="15" t="s">
        <v>153</v>
      </c>
      <c r="N6" s="19">
        <v>6</v>
      </c>
      <c r="O6" s="21">
        <v>11345</v>
      </c>
      <c r="P6" s="26">
        <v>0</v>
      </c>
      <c r="Q6" s="23">
        <v>0</v>
      </c>
      <c r="R6" s="27">
        <v>0</v>
      </c>
      <c r="S6" s="73">
        <f t="shared" si="1"/>
        <v>0</v>
      </c>
      <c r="T6" s="74">
        <f t="shared" si="0"/>
        <v>0</v>
      </c>
      <c r="U6" s="75">
        <f t="shared" si="0"/>
        <v>0</v>
      </c>
      <c r="Y6" s="2" t="s">
        <v>2</v>
      </c>
      <c r="Z6" t="s">
        <v>20</v>
      </c>
      <c r="AA6">
        <v>3</v>
      </c>
      <c r="AB6" s="15" t="s">
        <v>153</v>
      </c>
      <c r="AC6" s="23">
        <v>400000</v>
      </c>
      <c r="AD6" s="23">
        <v>40000</v>
      </c>
      <c r="AE6" s="23">
        <v>20000</v>
      </c>
    </row>
    <row r="7" spans="2:31" x14ac:dyDescent="0.25">
      <c r="B7" s="98"/>
      <c r="C7" s="42" t="s">
        <v>232</v>
      </c>
      <c r="D7" s="28">
        <v>2.6</v>
      </c>
      <c r="E7" s="34" t="s">
        <v>168</v>
      </c>
      <c r="F7" s="3"/>
      <c r="G7" s="11">
        <v>4</v>
      </c>
      <c r="H7" s="38">
        <v>0.2</v>
      </c>
      <c r="I7" s="32">
        <v>0.2</v>
      </c>
      <c r="J7" s="32">
        <v>0.2</v>
      </c>
      <c r="L7" s="90" t="s">
        <v>138</v>
      </c>
      <c r="M7" s="91" t="s">
        <v>154</v>
      </c>
      <c r="N7" s="92">
        <v>12</v>
      </c>
      <c r="O7" s="21">
        <v>46320</v>
      </c>
      <c r="P7" s="94">
        <v>0</v>
      </c>
      <c r="Q7" s="23">
        <v>0</v>
      </c>
      <c r="R7" s="93">
        <v>0</v>
      </c>
      <c r="S7" s="73">
        <f t="shared" si="1"/>
        <v>0</v>
      </c>
      <c r="T7" s="74">
        <f t="shared" si="0"/>
        <v>0</v>
      </c>
      <c r="U7" s="75">
        <f t="shared" si="0"/>
        <v>0</v>
      </c>
      <c r="Y7" s="2" t="s">
        <v>3</v>
      </c>
      <c r="Z7" t="s">
        <v>21</v>
      </c>
      <c r="AA7">
        <v>4</v>
      </c>
      <c r="AB7" s="15" t="s">
        <v>154</v>
      </c>
      <c r="AC7" s="23">
        <v>4000000</v>
      </c>
      <c r="AD7" s="23">
        <v>80000</v>
      </c>
      <c r="AE7" s="23">
        <v>40000</v>
      </c>
    </row>
    <row r="8" spans="2:31" x14ac:dyDescent="0.25">
      <c r="B8" s="98"/>
      <c r="C8" s="42" t="s">
        <v>233</v>
      </c>
      <c r="D8" s="28">
        <v>10</v>
      </c>
      <c r="E8" s="34" t="s">
        <v>168</v>
      </c>
      <c r="F8" s="3"/>
      <c r="G8" s="11">
        <v>5</v>
      </c>
      <c r="H8" s="38">
        <v>0.2</v>
      </c>
      <c r="I8" s="32">
        <v>0.2</v>
      </c>
      <c r="J8" s="32">
        <v>0.2</v>
      </c>
      <c r="L8" s="11" t="s">
        <v>139</v>
      </c>
      <c r="M8" s="15" t="s">
        <v>155</v>
      </c>
      <c r="N8" s="19">
        <v>3</v>
      </c>
      <c r="O8" s="21">
        <v>4982.2</v>
      </c>
      <c r="P8" s="26">
        <v>0</v>
      </c>
      <c r="Q8" s="23">
        <v>0</v>
      </c>
      <c r="R8" s="27">
        <v>0</v>
      </c>
      <c r="S8" s="73">
        <f t="shared" si="1"/>
        <v>0</v>
      </c>
      <c r="T8" s="74">
        <f t="shared" si="0"/>
        <v>0</v>
      </c>
      <c r="U8" s="75">
        <f t="shared" si="0"/>
        <v>0</v>
      </c>
      <c r="Y8" s="2" t="s">
        <v>4</v>
      </c>
      <c r="Z8" t="s">
        <v>22</v>
      </c>
      <c r="AA8">
        <v>5</v>
      </c>
      <c r="AB8" s="15" t="s">
        <v>155</v>
      </c>
      <c r="AC8" s="23">
        <v>1000000</v>
      </c>
      <c r="AD8" s="23">
        <v>100000</v>
      </c>
      <c r="AE8" s="23">
        <v>10000</v>
      </c>
    </row>
    <row r="9" spans="2:31" ht="15" customHeight="1" x14ac:dyDescent="0.25">
      <c r="B9" s="98"/>
      <c r="C9" s="42" t="s">
        <v>204</v>
      </c>
      <c r="D9" s="28">
        <v>1.2</v>
      </c>
      <c r="E9" s="16" t="s">
        <v>172</v>
      </c>
      <c r="G9" s="11">
        <v>6</v>
      </c>
      <c r="H9" s="38">
        <v>0.4</v>
      </c>
      <c r="I9" s="32">
        <v>0.3</v>
      </c>
      <c r="J9" s="32">
        <v>0.3</v>
      </c>
      <c r="L9" s="90" t="s">
        <v>140</v>
      </c>
      <c r="M9" s="91" t="s">
        <v>156</v>
      </c>
      <c r="N9" s="92">
        <v>4</v>
      </c>
      <c r="O9" s="21">
        <v>3135</v>
      </c>
      <c r="P9" s="94">
        <v>0</v>
      </c>
      <c r="Q9" s="23">
        <v>2500000</v>
      </c>
      <c r="R9" s="93">
        <v>0</v>
      </c>
      <c r="S9" s="73">
        <f t="shared" si="1"/>
        <v>0</v>
      </c>
      <c r="T9" s="74">
        <f t="shared" si="0"/>
        <v>1</v>
      </c>
      <c r="U9" s="75">
        <f t="shared" si="0"/>
        <v>0</v>
      </c>
      <c r="Y9" s="2" t="s">
        <v>5</v>
      </c>
      <c r="Z9" t="s">
        <v>23</v>
      </c>
      <c r="AA9">
        <v>6</v>
      </c>
      <c r="AB9" s="15" t="s">
        <v>156</v>
      </c>
      <c r="AC9" s="23">
        <v>2000000</v>
      </c>
      <c r="AD9" s="23">
        <v>2000000</v>
      </c>
      <c r="AE9" s="23">
        <v>1000000</v>
      </c>
    </row>
    <row r="10" spans="2:31" ht="15" customHeight="1" x14ac:dyDescent="0.25">
      <c r="B10" s="98"/>
      <c r="C10" s="42" t="s">
        <v>234</v>
      </c>
      <c r="D10" s="28">
        <v>0.3</v>
      </c>
      <c r="E10" s="16" t="s">
        <v>172</v>
      </c>
      <c r="F10" s="3"/>
      <c r="G10" s="11">
        <v>7</v>
      </c>
      <c r="H10" s="38">
        <v>0.7</v>
      </c>
      <c r="I10" s="32">
        <v>0.5</v>
      </c>
      <c r="J10" s="32">
        <v>0.4</v>
      </c>
      <c r="L10" s="11" t="s">
        <v>141</v>
      </c>
      <c r="M10" s="15" t="s">
        <v>157</v>
      </c>
      <c r="N10" s="19">
        <v>3</v>
      </c>
      <c r="O10" s="21">
        <v>3804.01</v>
      </c>
      <c r="P10" s="26">
        <v>0</v>
      </c>
      <c r="Q10" s="23">
        <v>0</v>
      </c>
      <c r="R10" s="27">
        <v>0</v>
      </c>
      <c r="S10" s="73">
        <f t="shared" si="1"/>
        <v>0</v>
      </c>
      <c r="T10" s="74">
        <f t="shared" si="0"/>
        <v>0</v>
      </c>
      <c r="U10" s="75">
        <f t="shared" si="0"/>
        <v>0</v>
      </c>
      <c r="Y10" s="2" t="s">
        <v>6</v>
      </c>
      <c r="Z10" t="s">
        <v>24</v>
      </c>
      <c r="AA10">
        <v>7</v>
      </c>
      <c r="AB10" s="15" t="s">
        <v>157</v>
      </c>
      <c r="AC10" s="23">
        <v>100000</v>
      </c>
      <c r="AD10" s="23">
        <v>100000</v>
      </c>
      <c r="AE10" s="23">
        <v>100000</v>
      </c>
    </row>
    <row r="11" spans="2:31" ht="17.25" x14ac:dyDescent="0.25">
      <c r="B11" s="98"/>
      <c r="C11" s="42" t="s">
        <v>229</v>
      </c>
      <c r="D11" s="28">
        <v>150</v>
      </c>
      <c r="E11" s="16" t="s">
        <v>196</v>
      </c>
      <c r="F11" s="3"/>
      <c r="G11" s="11">
        <v>8</v>
      </c>
      <c r="H11" s="38">
        <v>0.9</v>
      </c>
      <c r="I11" s="32">
        <v>0.5</v>
      </c>
      <c r="J11" s="32">
        <v>0.4</v>
      </c>
      <c r="L11" s="11" t="s">
        <v>142</v>
      </c>
      <c r="M11" s="15" t="s">
        <v>158</v>
      </c>
      <c r="N11" s="19">
        <v>1</v>
      </c>
      <c r="O11" s="21">
        <v>6871</v>
      </c>
      <c r="P11" s="26">
        <v>0</v>
      </c>
      <c r="Q11" s="23">
        <v>0</v>
      </c>
      <c r="R11" s="27">
        <v>0</v>
      </c>
      <c r="S11" s="73">
        <f t="shared" si="1"/>
        <v>0</v>
      </c>
      <c r="T11" s="74">
        <f t="shared" si="0"/>
        <v>0</v>
      </c>
      <c r="U11" s="75">
        <f t="shared" si="0"/>
        <v>0</v>
      </c>
      <c r="Y11" s="2" t="s">
        <v>7</v>
      </c>
      <c r="Z11" t="s">
        <v>25</v>
      </c>
      <c r="AA11">
        <v>8</v>
      </c>
      <c r="AB11" s="15" t="s">
        <v>158</v>
      </c>
      <c r="AC11" s="23">
        <v>10000</v>
      </c>
      <c r="AD11" s="23">
        <v>10000</v>
      </c>
      <c r="AE11" s="23">
        <v>20000</v>
      </c>
    </row>
    <row r="12" spans="2:31" ht="17.25" x14ac:dyDescent="0.25">
      <c r="B12" s="98"/>
      <c r="C12" s="42" t="s">
        <v>230</v>
      </c>
      <c r="D12" s="28">
        <v>50</v>
      </c>
      <c r="E12" s="16" t="s">
        <v>196</v>
      </c>
      <c r="F12" s="3"/>
      <c r="G12" s="11">
        <v>9</v>
      </c>
      <c r="H12" s="38">
        <v>0.9</v>
      </c>
      <c r="I12" s="32">
        <v>0.5</v>
      </c>
      <c r="J12" s="32">
        <v>0.4</v>
      </c>
      <c r="L12" s="11" t="s">
        <v>143</v>
      </c>
      <c r="M12" s="15" t="s">
        <v>159</v>
      </c>
      <c r="N12" s="19">
        <v>1</v>
      </c>
      <c r="O12" s="21">
        <v>232.2</v>
      </c>
      <c r="P12" s="26">
        <v>0</v>
      </c>
      <c r="Q12" s="23">
        <v>0</v>
      </c>
      <c r="R12" s="27">
        <v>0</v>
      </c>
      <c r="S12" s="73">
        <f t="shared" si="1"/>
        <v>0</v>
      </c>
      <c r="T12" s="74">
        <f t="shared" si="0"/>
        <v>0</v>
      </c>
      <c r="U12" s="75">
        <f t="shared" si="0"/>
        <v>0</v>
      </c>
      <c r="Y12" s="2" t="s">
        <v>8</v>
      </c>
      <c r="Z12" t="s">
        <v>26</v>
      </c>
      <c r="AA12">
        <v>9</v>
      </c>
      <c r="AB12" s="15" t="s">
        <v>159</v>
      </c>
      <c r="AC12" s="23">
        <v>10000</v>
      </c>
      <c r="AD12" s="23">
        <v>5000</v>
      </c>
      <c r="AE12" s="23">
        <v>5000</v>
      </c>
    </row>
    <row r="13" spans="2:31" x14ac:dyDescent="0.25">
      <c r="B13" s="98"/>
      <c r="C13" s="42" t="s">
        <v>259</v>
      </c>
      <c r="D13" s="28">
        <v>1</v>
      </c>
      <c r="E13" s="16" t="s">
        <v>260</v>
      </c>
      <c r="F13" s="3"/>
      <c r="G13" s="11">
        <v>10</v>
      </c>
      <c r="H13" s="38">
        <v>0.6</v>
      </c>
      <c r="I13" s="32">
        <v>0.5</v>
      </c>
      <c r="J13" s="32">
        <v>0.4</v>
      </c>
      <c r="L13" s="11" t="s">
        <v>144</v>
      </c>
      <c r="M13" s="15" t="s">
        <v>160</v>
      </c>
      <c r="N13" s="19">
        <v>2</v>
      </c>
      <c r="O13" s="21">
        <v>19592</v>
      </c>
      <c r="P13" s="26">
        <v>0</v>
      </c>
      <c r="Q13" s="23">
        <v>0</v>
      </c>
      <c r="R13" s="27">
        <v>0</v>
      </c>
      <c r="S13" s="73">
        <f t="shared" si="1"/>
        <v>0</v>
      </c>
      <c r="T13" s="74">
        <f t="shared" si="0"/>
        <v>0</v>
      </c>
      <c r="U13" s="75">
        <f t="shared" si="0"/>
        <v>0</v>
      </c>
      <c r="Y13" s="2" t="s">
        <v>9</v>
      </c>
      <c r="Z13" t="s">
        <v>27</v>
      </c>
      <c r="AA13">
        <v>10</v>
      </c>
      <c r="AB13" s="15" t="s">
        <v>160</v>
      </c>
      <c r="AC13" s="23">
        <v>20000</v>
      </c>
      <c r="AD13" s="23">
        <v>20000</v>
      </c>
      <c r="AE13" s="23">
        <v>20000</v>
      </c>
    </row>
    <row r="14" spans="2:31" x14ac:dyDescent="0.25">
      <c r="B14" s="99"/>
      <c r="C14" s="43" t="s">
        <v>261</v>
      </c>
      <c r="D14" s="28">
        <v>0.1</v>
      </c>
      <c r="E14" s="16" t="s">
        <v>168</v>
      </c>
      <c r="F14" s="3"/>
      <c r="G14" s="11">
        <v>11</v>
      </c>
      <c r="H14" s="38">
        <v>0.6</v>
      </c>
      <c r="I14" s="32">
        <v>0.5</v>
      </c>
      <c r="J14" s="32">
        <v>0.4</v>
      </c>
      <c r="L14" s="11" t="s">
        <v>145</v>
      </c>
      <c r="M14" s="15" t="s">
        <v>161</v>
      </c>
      <c r="N14" s="19">
        <v>4</v>
      </c>
      <c r="O14" s="21">
        <v>4013.63</v>
      </c>
      <c r="P14" s="26">
        <v>0</v>
      </c>
      <c r="Q14" s="23">
        <v>0</v>
      </c>
      <c r="R14" s="27">
        <v>0</v>
      </c>
      <c r="S14" s="73">
        <f t="shared" si="1"/>
        <v>0</v>
      </c>
      <c r="T14" s="74">
        <f t="shared" si="0"/>
        <v>0</v>
      </c>
      <c r="U14" s="75">
        <f t="shared" si="0"/>
        <v>0</v>
      </c>
      <c r="Y14" s="2" t="s">
        <v>10</v>
      </c>
      <c r="Z14" t="s">
        <v>28</v>
      </c>
      <c r="AA14">
        <v>11</v>
      </c>
      <c r="AB14" s="15" t="s">
        <v>161</v>
      </c>
      <c r="AC14" s="23">
        <v>100000</v>
      </c>
      <c r="AD14" s="23">
        <v>100000</v>
      </c>
      <c r="AE14" s="23">
        <v>10000</v>
      </c>
    </row>
    <row r="15" spans="2:31" x14ac:dyDescent="0.25">
      <c r="B15" s="97" t="s">
        <v>181</v>
      </c>
      <c r="C15" s="22" t="s">
        <v>171</v>
      </c>
      <c r="D15" s="30">
        <v>14.6</v>
      </c>
      <c r="E15" s="31" t="s">
        <v>168</v>
      </c>
      <c r="F15" s="3"/>
      <c r="G15" s="11">
        <v>12</v>
      </c>
      <c r="H15" s="38">
        <v>0.6</v>
      </c>
      <c r="I15" s="32">
        <v>0.5</v>
      </c>
      <c r="J15" s="32">
        <v>0.4</v>
      </c>
      <c r="L15" s="11" t="s">
        <v>146</v>
      </c>
      <c r="M15" s="15" t="s">
        <v>162</v>
      </c>
      <c r="N15" s="19">
        <v>1</v>
      </c>
      <c r="O15" s="21">
        <v>511</v>
      </c>
      <c r="P15" s="26">
        <v>0</v>
      </c>
      <c r="Q15" s="23">
        <v>0</v>
      </c>
      <c r="R15" s="27">
        <v>0</v>
      </c>
      <c r="S15" s="73">
        <f t="shared" si="1"/>
        <v>0</v>
      </c>
      <c r="T15" s="74">
        <f t="shared" si="0"/>
        <v>0</v>
      </c>
      <c r="U15" s="75">
        <f t="shared" si="0"/>
        <v>0</v>
      </c>
      <c r="Y15" s="2" t="s">
        <v>11</v>
      </c>
      <c r="Z15" t="s">
        <v>29</v>
      </c>
      <c r="AA15">
        <v>12</v>
      </c>
      <c r="AB15" s="15" t="s">
        <v>162</v>
      </c>
      <c r="AC15" s="23">
        <v>50000</v>
      </c>
      <c r="AD15" s="23">
        <v>50000</v>
      </c>
      <c r="AE15" s="23">
        <v>50000</v>
      </c>
    </row>
    <row r="16" spans="2:31" x14ac:dyDescent="0.25">
      <c r="B16" s="98"/>
      <c r="C16" s="17" t="s">
        <v>266</v>
      </c>
      <c r="D16" s="28">
        <v>1</v>
      </c>
      <c r="E16" s="16" t="s">
        <v>172</v>
      </c>
      <c r="F16" s="3"/>
      <c r="G16" s="11">
        <v>13</v>
      </c>
      <c r="H16" s="38">
        <v>0.6</v>
      </c>
      <c r="I16" s="32">
        <v>0.5</v>
      </c>
      <c r="J16" s="32">
        <v>0.4</v>
      </c>
      <c r="L16" s="11" t="s">
        <v>147</v>
      </c>
      <c r="M16" s="15" t="s">
        <v>163</v>
      </c>
      <c r="N16" s="19">
        <v>1</v>
      </c>
      <c r="O16" s="21">
        <v>2294</v>
      </c>
      <c r="P16" s="26">
        <v>0</v>
      </c>
      <c r="Q16" s="23">
        <v>0</v>
      </c>
      <c r="R16" s="27">
        <v>0</v>
      </c>
      <c r="S16" s="73">
        <f t="shared" si="1"/>
        <v>0</v>
      </c>
      <c r="T16" s="74">
        <f t="shared" si="0"/>
        <v>0</v>
      </c>
      <c r="U16" s="75">
        <f t="shared" si="0"/>
        <v>0</v>
      </c>
      <c r="Y16" s="2" t="s">
        <v>12</v>
      </c>
      <c r="Z16" t="s">
        <v>30</v>
      </c>
      <c r="AA16">
        <v>13</v>
      </c>
      <c r="AB16" s="15" t="s">
        <v>163</v>
      </c>
      <c r="AC16" s="23">
        <v>100000</v>
      </c>
      <c r="AD16" s="23">
        <v>100000</v>
      </c>
      <c r="AE16" s="23">
        <v>100000</v>
      </c>
    </row>
    <row r="17" spans="2:31" ht="15" customHeight="1" x14ac:dyDescent="0.25">
      <c r="B17" s="98"/>
      <c r="C17" s="15" t="s">
        <v>175</v>
      </c>
      <c r="D17" s="28">
        <v>0.54</v>
      </c>
      <c r="E17" s="16" t="s">
        <v>172</v>
      </c>
      <c r="F17" s="3"/>
      <c r="G17" s="11">
        <v>14</v>
      </c>
      <c r="H17" s="38">
        <v>0.6</v>
      </c>
      <c r="I17" s="32">
        <v>0.5</v>
      </c>
      <c r="J17" s="32">
        <v>0.4</v>
      </c>
      <c r="L17" s="11" t="s">
        <v>148</v>
      </c>
      <c r="M17" s="15" t="s">
        <v>164</v>
      </c>
      <c r="N17" s="19">
        <v>1</v>
      </c>
      <c r="O17" s="21">
        <v>2090</v>
      </c>
      <c r="P17" s="26">
        <v>0</v>
      </c>
      <c r="Q17" s="23">
        <v>0</v>
      </c>
      <c r="R17" s="27">
        <v>0</v>
      </c>
      <c r="S17" s="73">
        <f t="shared" si="1"/>
        <v>0</v>
      </c>
      <c r="T17" s="74">
        <f t="shared" si="0"/>
        <v>0</v>
      </c>
      <c r="U17" s="75">
        <f t="shared" si="0"/>
        <v>0</v>
      </c>
      <c r="Y17" s="2" t="s">
        <v>13</v>
      </c>
      <c r="Z17" t="s">
        <v>31</v>
      </c>
      <c r="AA17">
        <v>14</v>
      </c>
      <c r="AB17" s="15" t="s">
        <v>164</v>
      </c>
      <c r="AC17" s="23">
        <v>2000</v>
      </c>
      <c r="AD17" s="23">
        <v>2000</v>
      </c>
      <c r="AE17" s="23">
        <v>2000</v>
      </c>
    </row>
    <row r="18" spans="2:31" ht="15" customHeight="1" x14ac:dyDescent="0.25">
      <c r="B18" s="98"/>
      <c r="C18" s="15" t="s">
        <v>15</v>
      </c>
      <c r="D18" s="28">
        <v>0.48</v>
      </c>
      <c r="E18" s="16" t="s">
        <v>172</v>
      </c>
      <c r="G18" s="11">
        <v>15</v>
      </c>
      <c r="H18" s="38">
        <v>0.7</v>
      </c>
      <c r="I18" s="32">
        <v>0.6</v>
      </c>
      <c r="J18" s="32">
        <v>0.4</v>
      </c>
      <c r="L18" s="11" t="s">
        <v>149</v>
      </c>
      <c r="M18" s="15" t="s">
        <v>165</v>
      </c>
      <c r="N18" s="19">
        <v>1</v>
      </c>
      <c r="O18" s="21">
        <v>4181</v>
      </c>
      <c r="P18" s="26">
        <v>0</v>
      </c>
      <c r="Q18" s="23">
        <v>0</v>
      </c>
      <c r="R18" s="27">
        <v>0</v>
      </c>
      <c r="S18" s="73">
        <f t="shared" si="1"/>
        <v>0</v>
      </c>
      <c r="T18" s="74">
        <f t="shared" si="0"/>
        <v>0</v>
      </c>
      <c r="U18" s="75">
        <f t="shared" si="0"/>
        <v>0</v>
      </c>
      <c r="Y18" s="2">
        <v>7</v>
      </c>
      <c r="Z18" t="s">
        <v>32</v>
      </c>
      <c r="AA18">
        <v>15</v>
      </c>
      <c r="AB18" s="15" t="s">
        <v>165</v>
      </c>
      <c r="AC18" s="23">
        <v>100000</v>
      </c>
      <c r="AD18" s="23">
        <v>100000</v>
      </c>
      <c r="AE18" s="23">
        <v>100000</v>
      </c>
    </row>
    <row r="19" spans="2:31" ht="15" customHeight="1" x14ac:dyDescent="0.25">
      <c r="B19" s="98"/>
      <c r="C19" s="15" t="s">
        <v>238</v>
      </c>
      <c r="D19" s="28">
        <v>1000</v>
      </c>
      <c r="E19" s="16" t="s">
        <v>168</v>
      </c>
      <c r="F19" s="3"/>
      <c r="G19" s="11">
        <v>16</v>
      </c>
      <c r="H19" s="38">
        <v>0.8</v>
      </c>
      <c r="I19" s="32">
        <v>0.7</v>
      </c>
      <c r="J19" s="32">
        <v>0.4</v>
      </c>
      <c r="L19" s="11" t="s">
        <v>150</v>
      </c>
      <c r="M19" s="15" t="s">
        <v>166</v>
      </c>
      <c r="N19" s="19">
        <v>1</v>
      </c>
      <c r="O19" s="21">
        <v>4835.13</v>
      </c>
      <c r="P19" s="62">
        <v>0</v>
      </c>
      <c r="Q19" s="23">
        <v>0</v>
      </c>
      <c r="R19" s="27">
        <v>0</v>
      </c>
      <c r="S19" s="76">
        <f t="shared" si="1"/>
        <v>0</v>
      </c>
      <c r="T19" s="77">
        <f t="shared" si="0"/>
        <v>0</v>
      </c>
      <c r="U19" s="78">
        <f t="shared" si="0"/>
        <v>0</v>
      </c>
      <c r="Y19" s="2">
        <v>8</v>
      </c>
      <c r="Z19" t="s">
        <v>33</v>
      </c>
      <c r="AA19">
        <v>16</v>
      </c>
      <c r="AB19" s="15" t="s">
        <v>166</v>
      </c>
      <c r="AC19" s="23">
        <v>5000</v>
      </c>
      <c r="AD19" s="23">
        <v>5000</v>
      </c>
      <c r="AE19" s="23">
        <v>5000</v>
      </c>
    </row>
    <row r="20" spans="2:31" x14ac:dyDescent="0.25">
      <c r="B20" s="98"/>
      <c r="C20" s="15" t="s">
        <v>176</v>
      </c>
      <c r="D20" s="28">
        <f>D19/4</f>
        <v>250</v>
      </c>
      <c r="E20" s="16" t="s">
        <v>168</v>
      </c>
      <c r="F20" s="3"/>
      <c r="G20" s="11">
        <v>17</v>
      </c>
      <c r="H20" s="38">
        <v>0.9</v>
      </c>
      <c r="I20" s="32">
        <v>0.7</v>
      </c>
      <c r="J20" s="32">
        <v>0.4</v>
      </c>
      <c r="L20" s="48"/>
      <c r="M20" s="49" t="s">
        <v>228</v>
      </c>
      <c r="N20" s="50" t="s">
        <v>10</v>
      </c>
      <c r="O20" s="51" t="str">
        <f>VLOOKUP(N20,Y4:Z19,2,0)</f>
        <v>Chicago</v>
      </c>
      <c r="P20" s="52"/>
      <c r="Q20" s="53" t="s">
        <v>205</v>
      </c>
      <c r="R20" s="54">
        <f>SUM(P4:R19)</f>
        <v>2500000</v>
      </c>
      <c r="S20" s="87">
        <f>SUM(S4:S19)</f>
        <v>0</v>
      </c>
      <c r="T20" s="88">
        <f>SUM(T4:T19)</f>
        <v>1</v>
      </c>
      <c r="U20" s="89">
        <f>SUM(U4:U19)</f>
        <v>0</v>
      </c>
      <c r="AC20" s="23">
        <f>SUM(AC4:AC19)</f>
        <v>8247000</v>
      </c>
      <c r="AD20" s="23">
        <f>SUM(AD4:AD19)</f>
        <v>2757000</v>
      </c>
      <c r="AE20" s="23">
        <f>SUM(AE4:AE19)</f>
        <v>1527000</v>
      </c>
    </row>
    <row r="21" spans="2:31" x14ac:dyDescent="0.25">
      <c r="B21" s="98"/>
      <c r="C21" s="15" t="s">
        <v>133</v>
      </c>
      <c r="D21" s="28">
        <v>0.1</v>
      </c>
      <c r="E21" s="16" t="s">
        <v>172</v>
      </c>
      <c r="F21" s="3"/>
      <c r="G21" s="11">
        <v>18</v>
      </c>
      <c r="H21" s="38">
        <v>0.9</v>
      </c>
      <c r="I21" s="32">
        <v>0.7</v>
      </c>
      <c r="J21" s="32">
        <v>0.4</v>
      </c>
      <c r="L21" s="19"/>
      <c r="M21" s="44"/>
      <c r="N21" s="45"/>
      <c r="O21" s="46"/>
      <c r="P21" s="15"/>
      <c r="Q21" s="65" t="s">
        <v>237</v>
      </c>
      <c r="R21" s="66">
        <f>D19^2*D17*D15/3.05</f>
        <v>2584918.0327868853</v>
      </c>
      <c r="S21" s="47"/>
      <c r="T21" s="47"/>
      <c r="U21" s="47"/>
      <c r="W21" s="113"/>
      <c r="X21" s="113"/>
      <c r="AB21" t="s">
        <v>250</v>
      </c>
      <c r="AC21">
        <v>50</v>
      </c>
      <c r="AD21">
        <v>20</v>
      </c>
      <c r="AE21" s="23">
        <v>10</v>
      </c>
    </row>
    <row r="22" spans="2:31" x14ac:dyDescent="0.25">
      <c r="B22" s="98"/>
      <c r="C22" s="17" t="s">
        <v>192</v>
      </c>
      <c r="D22" s="28">
        <v>0.5</v>
      </c>
      <c r="E22" s="16" t="s">
        <v>168</v>
      </c>
      <c r="F22" s="3"/>
      <c r="G22" s="11">
        <v>19</v>
      </c>
      <c r="H22" s="38">
        <v>0.8</v>
      </c>
      <c r="I22" s="32">
        <v>0.7</v>
      </c>
      <c r="J22" s="32">
        <v>0.4</v>
      </c>
      <c r="X22" s="3"/>
      <c r="Y22" t="s">
        <v>243</v>
      </c>
      <c r="AB22" t="s">
        <v>249</v>
      </c>
      <c r="AC22" s="67">
        <v>0.5</v>
      </c>
      <c r="AD22" s="67">
        <v>0.5</v>
      </c>
      <c r="AE22" s="67">
        <v>0.5</v>
      </c>
    </row>
    <row r="23" spans="2:31" ht="17.25" x14ac:dyDescent="0.25">
      <c r="B23" s="98"/>
      <c r="C23" s="15" t="s">
        <v>190</v>
      </c>
      <c r="D23" s="28">
        <v>20</v>
      </c>
      <c r="E23" s="16" t="s">
        <v>196</v>
      </c>
      <c r="F23" s="3"/>
      <c r="G23" s="11">
        <v>20</v>
      </c>
      <c r="H23" s="38">
        <v>0.8</v>
      </c>
      <c r="I23" s="32">
        <v>0.5</v>
      </c>
      <c r="J23" s="32">
        <v>0.4</v>
      </c>
      <c r="L23" s="105" t="s">
        <v>188</v>
      </c>
      <c r="M23" s="106"/>
      <c r="N23" s="61" t="s">
        <v>173</v>
      </c>
      <c r="O23" s="60" t="s">
        <v>167</v>
      </c>
      <c r="P23" s="118" t="s">
        <v>187</v>
      </c>
      <c r="Q23" s="118"/>
      <c r="R23" s="118"/>
      <c r="S23" s="118"/>
      <c r="T23" s="118"/>
      <c r="U23" s="119"/>
      <c r="X23" s="3"/>
      <c r="Y23" t="s">
        <v>242</v>
      </c>
      <c r="AB23" t="s">
        <v>251</v>
      </c>
      <c r="AC23" s="69">
        <v>4</v>
      </c>
      <c r="AD23" s="68">
        <v>1.6</v>
      </c>
      <c r="AE23" s="68">
        <v>0.8</v>
      </c>
    </row>
    <row r="24" spans="2:31" ht="17.25" x14ac:dyDescent="0.25">
      <c r="B24" s="98"/>
      <c r="C24" s="15" t="s">
        <v>191</v>
      </c>
      <c r="D24" s="28">
        <f>D23/10</f>
        <v>2</v>
      </c>
      <c r="E24" s="16" t="s">
        <v>196</v>
      </c>
      <c r="F24" s="6"/>
      <c r="G24" s="11">
        <v>21</v>
      </c>
      <c r="H24" s="38">
        <v>0.7</v>
      </c>
      <c r="I24" s="32">
        <v>0.4</v>
      </c>
      <c r="J24" s="32">
        <v>0.3</v>
      </c>
      <c r="K24" s="5"/>
      <c r="L24" s="100" t="s">
        <v>177</v>
      </c>
      <c r="M24" s="101"/>
      <c r="N24" s="37">
        <v>6</v>
      </c>
      <c r="O24" s="82" t="s">
        <v>172</v>
      </c>
      <c r="P24" s="114" t="s">
        <v>264</v>
      </c>
      <c r="Q24" s="59" t="s">
        <v>184</v>
      </c>
      <c r="R24" s="107" t="s">
        <v>277</v>
      </c>
      <c r="S24" s="107"/>
      <c r="T24" s="107"/>
      <c r="U24" s="108"/>
      <c r="AB24" t="s">
        <v>252</v>
      </c>
      <c r="AC24">
        <v>0.5</v>
      </c>
      <c r="AD24">
        <v>0.5</v>
      </c>
      <c r="AE24" s="23">
        <v>1</v>
      </c>
    </row>
    <row r="25" spans="2:31" ht="15" customHeight="1" x14ac:dyDescent="0.25">
      <c r="B25" s="97" t="s">
        <v>209</v>
      </c>
      <c r="C25" s="22" t="s">
        <v>235</v>
      </c>
      <c r="D25" s="30">
        <v>0.19</v>
      </c>
      <c r="E25" s="31" t="s">
        <v>172</v>
      </c>
      <c r="F25" s="6"/>
      <c r="G25" s="11">
        <v>22</v>
      </c>
      <c r="H25" s="38">
        <v>0.3</v>
      </c>
      <c r="I25" s="32">
        <v>0.3</v>
      </c>
      <c r="J25" s="32">
        <v>0.3</v>
      </c>
      <c r="K25" s="5"/>
      <c r="L25" s="95" t="s">
        <v>178</v>
      </c>
      <c r="M25" s="96"/>
      <c r="N25" s="38">
        <v>10</v>
      </c>
      <c r="O25" s="83" t="s">
        <v>172</v>
      </c>
      <c r="P25" s="115"/>
      <c r="Q25" s="8" t="s">
        <v>186</v>
      </c>
      <c r="R25" s="109" t="s">
        <v>283</v>
      </c>
      <c r="S25" s="109"/>
      <c r="T25" s="109"/>
      <c r="U25" s="110"/>
      <c r="AB25" t="s">
        <v>253</v>
      </c>
      <c r="AC25">
        <v>20</v>
      </c>
      <c r="AD25">
        <v>20</v>
      </c>
      <c r="AE25" s="23">
        <v>10</v>
      </c>
    </row>
    <row r="26" spans="2:31" ht="15" customHeight="1" x14ac:dyDescent="0.25">
      <c r="B26" s="98"/>
      <c r="C26" s="15" t="s">
        <v>236</v>
      </c>
      <c r="D26" s="28">
        <v>0.19</v>
      </c>
      <c r="E26" s="16" t="s">
        <v>172</v>
      </c>
      <c r="F26" s="3"/>
      <c r="G26" s="11">
        <v>23</v>
      </c>
      <c r="H26" s="38">
        <v>0.2</v>
      </c>
      <c r="I26" s="32">
        <v>0.2</v>
      </c>
      <c r="J26" s="32">
        <v>0.2</v>
      </c>
      <c r="L26" s="95" t="s">
        <v>179</v>
      </c>
      <c r="M26" s="96"/>
      <c r="N26" s="38">
        <v>30</v>
      </c>
      <c r="O26" s="83" t="s">
        <v>180</v>
      </c>
      <c r="P26" s="114" t="s">
        <v>265</v>
      </c>
      <c r="Q26" s="59" t="s">
        <v>184</v>
      </c>
      <c r="R26" s="107" t="s">
        <v>278</v>
      </c>
      <c r="S26" s="107"/>
      <c r="T26" s="107"/>
      <c r="U26" s="108"/>
      <c r="W26" s="113"/>
      <c r="X26" s="113"/>
    </row>
    <row r="27" spans="2:31" x14ac:dyDescent="0.25">
      <c r="B27" s="98"/>
      <c r="C27" s="15" t="s">
        <v>182</v>
      </c>
      <c r="D27" s="28">
        <v>4</v>
      </c>
      <c r="E27" s="16" t="s">
        <v>172</v>
      </c>
      <c r="G27" s="12">
        <v>24</v>
      </c>
      <c r="H27" s="39">
        <v>0.2</v>
      </c>
      <c r="I27" s="33">
        <v>0.2</v>
      </c>
      <c r="J27" s="33">
        <v>0.2</v>
      </c>
      <c r="L27" s="95" t="s">
        <v>225</v>
      </c>
      <c r="M27" s="96"/>
      <c r="N27" s="38">
        <v>300</v>
      </c>
      <c r="O27" s="83" t="s">
        <v>174</v>
      </c>
      <c r="P27" s="115"/>
      <c r="Q27" s="8" t="s">
        <v>186</v>
      </c>
      <c r="R27" s="109" t="s">
        <v>282</v>
      </c>
      <c r="S27" s="109"/>
      <c r="T27" s="109"/>
      <c r="U27" s="110"/>
      <c r="X27" s="3"/>
    </row>
    <row r="28" spans="2:31" x14ac:dyDescent="0.25">
      <c r="B28" s="98"/>
      <c r="C28" s="15" t="s">
        <v>183</v>
      </c>
      <c r="D28" s="28">
        <v>10</v>
      </c>
      <c r="E28" s="16" t="s">
        <v>172</v>
      </c>
      <c r="L28" s="95" t="s">
        <v>226</v>
      </c>
      <c r="M28" s="96"/>
      <c r="N28" s="38">
        <v>3600</v>
      </c>
      <c r="O28" s="84" t="s">
        <v>174</v>
      </c>
      <c r="P28" s="116" t="s">
        <v>245</v>
      </c>
      <c r="Q28" s="4" t="s">
        <v>184</v>
      </c>
      <c r="R28" s="111" t="s">
        <v>279</v>
      </c>
      <c r="S28" s="111"/>
      <c r="T28" s="111"/>
      <c r="U28" s="112"/>
      <c r="X28" s="3"/>
    </row>
    <row r="29" spans="2:31" x14ac:dyDescent="0.25">
      <c r="B29" s="98"/>
      <c r="C29" s="17" t="s">
        <v>206</v>
      </c>
      <c r="D29" s="28">
        <v>0.25</v>
      </c>
      <c r="E29" s="16" t="s">
        <v>172</v>
      </c>
      <c r="L29" s="95" t="s">
        <v>275</v>
      </c>
      <c r="M29" s="96"/>
      <c r="N29" s="38">
        <v>0</v>
      </c>
      <c r="O29" s="83" t="s">
        <v>185</v>
      </c>
      <c r="P29" s="115"/>
      <c r="Q29" s="8" t="s">
        <v>186</v>
      </c>
      <c r="R29" s="109" t="s">
        <v>227</v>
      </c>
      <c r="S29" s="109"/>
      <c r="T29" s="109"/>
      <c r="U29" s="110"/>
    </row>
    <row r="30" spans="2:31" ht="15" customHeight="1" x14ac:dyDescent="0.25">
      <c r="B30" s="98"/>
      <c r="C30" s="17" t="s">
        <v>208</v>
      </c>
      <c r="D30" s="28">
        <v>0.5</v>
      </c>
      <c r="E30" s="16" t="s">
        <v>172</v>
      </c>
      <c r="L30" s="95" t="s">
        <v>223</v>
      </c>
      <c r="M30" s="96"/>
      <c r="N30" s="38">
        <v>100</v>
      </c>
      <c r="O30" s="85" t="s">
        <v>224</v>
      </c>
      <c r="P30" s="114" t="s">
        <v>281</v>
      </c>
      <c r="Q30" s="59" t="s">
        <v>186</v>
      </c>
      <c r="R30" s="107" t="s">
        <v>284</v>
      </c>
      <c r="S30" s="107"/>
      <c r="T30" s="107"/>
      <c r="U30" s="108"/>
    </row>
    <row r="31" spans="2:31" x14ac:dyDescent="0.25">
      <c r="B31" s="98"/>
      <c r="C31" s="17" t="s">
        <v>207</v>
      </c>
      <c r="D31" s="28">
        <v>0.5</v>
      </c>
      <c r="E31" s="34" t="s">
        <v>172</v>
      </c>
      <c r="L31" s="95" t="s">
        <v>257</v>
      </c>
      <c r="M31" s="96"/>
      <c r="N31" s="38">
        <v>0.3</v>
      </c>
      <c r="O31" s="83" t="s">
        <v>172</v>
      </c>
      <c r="P31" s="120"/>
      <c r="Q31" s="4"/>
      <c r="R31" s="111"/>
      <c r="S31" s="111"/>
      <c r="T31" s="111"/>
      <c r="U31" s="112"/>
    </row>
    <row r="32" spans="2:31" x14ac:dyDescent="0.25">
      <c r="B32" s="99"/>
      <c r="C32" s="64" t="s">
        <v>222</v>
      </c>
      <c r="D32" s="29">
        <v>0.8</v>
      </c>
      <c r="E32" s="63" t="s">
        <v>172</v>
      </c>
      <c r="L32" s="95" t="s">
        <v>258</v>
      </c>
      <c r="M32" s="96"/>
      <c r="N32" s="38">
        <v>0.2</v>
      </c>
      <c r="O32" s="83" t="s">
        <v>172</v>
      </c>
      <c r="P32" s="137" t="s">
        <v>239</v>
      </c>
      <c r="Q32" s="138"/>
      <c r="R32" s="80" t="s">
        <v>242</v>
      </c>
      <c r="S32" s="128" t="s">
        <v>244</v>
      </c>
      <c r="T32" s="129"/>
      <c r="U32" s="130"/>
    </row>
    <row r="33" spans="2:21" x14ac:dyDescent="0.25">
      <c r="C33" s="17"/>
      <c r="L33" s="95" t="s">
        <v>255</v>
      </c>
      <c r="M33" s="96"/>
      <c r="N33" s="38">
        <v>0.5</v>
      </c>
      <c r="O33" s="83" t="s">
        <v>172</v>
      </c>
      <c r="P33" s="135" t="s">
        <v>240</v>
      </c>
      <c r="Q33" s="136"/>
      <c r="R33" s="79" t="s">
        <v>242</v>
      </c>
      <c r="S33" s="125" t="s">
        <v>244</v>
      </c>
      <c r="T33" s="126"/>
      <c r="U33" s="127"/>
    </row>
    <row r="34" spans="2:21" x14ac:dyDescent="0.25">
      <c r="L34" s="131" t="s">
        <v>256</v>
      </c>
      <c r="M34" s="132"/>
      <c r="N34" s="39">
        <v>0.7</v>
      </c>
      <c r="O34" s="86" t="s">
        <v>172</v>
      </c>
      <c r="P34" s="133" t="s">
        <v>241</v>
      </c>
      <c r="Q34" s="134"/>
      <c r="R34" s="81" t="s">
        <v>243</v>
      </c>
      <c r="S34" s="122" t="s">
        <v>244</v>
      </c>
      <c r="T34" s="123"/>
      <c r="U34" s="124"/>
    </row>
    <row r="35" spans="2:21" x14ac:dyDescent="0.25">
      <c r="B35" s="121" t="s">
        <v>280</v>
      </c>
      <c r="C35" s="121"/>
      <c r="D35" s="121"/>
      <c r="E35" s="121"/>
    </row>
    <row r="36" spans="2:21" x14ac:dyDescent="0.25">
      <c r="B36" t="s">
        <v>263</v>
      </c>
    </row>
    <row r="39" spans="2:21" x14ac:dyDescent="0.25">
      <c r="B39" t="s">
        <v>267</v>
      </c>
      <c r="C39" t="s">
        <v>269</v>
      </c>
    </row>
    <row r="40" spans="2:21" x14ac:dyDescent="0.25">
      <c r="C40" t="s">
        <v>270</v>
      </c>
    </row>
    <row r="41" spans="2:21" x14ac:dyDescent="0.25">
      <c r="C41" t="s">
        <v>271</v>
      </c>
    </row>
    <row r="42" spans="2:21" x14ac:dyDescent="0.25">
      <c r="C42" t="s">
        <v>272</v>
      </c>
    </row>
    <row r="43" spans="2:21" x14ac:dyDescent="0.25">
      <c r="C43" t="s">
        <v>273</v>
      </c>
    </row>
    <row r="44" spans="2:21" x14ac:dyDescent="0.25">
      <c r="C44" t="s">
        <v>268</v>
      </c>
    </row>
    <row r="45" spans="2:21" x14ac:dyDescent="0.25">
      <c r="C45" t="s">
        <v>274</v>
      </c>
    </row>
    <row r="46" spans="2:21" x14ac:dyDescent="0.25">
      <c r="C46" t="s">
        <v>276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220</v>
      </c>
    </row>
    <row r="2" spans="1:6" x14ac:dyDescent="0.25">
      <c r="A2" t="s">
        <v>52</v>
      </c>
      <c r="B2" t="s">
        <v>75</v>
      </c>
      <c r="D2" s="1" t="s">
        <v>211</v>
      </c>
      <c r="E2">
        <v>1</v>
      </c>
      <c r="F2" t="s">
        <v>212</v>
      </c>
    </row>
    <row r="3" spans="1:6" x14ac:dyDescent="0.25">
      <c r="A3" t="s">
        <v>117</v>
      </c>
      <c r="B3" t="s">
        <v>76</v>
      </c>
      <c r="E3">
        <v>2</v>
      </c>
      <c r="F3" t="s">
        <v>216</v>
      </c>
    </row>
    <row r="4" spans="1:6" x14ac:dyDescent="0.25">
      <c r="A4" t="s">
        <v>118</v>
      </c>
      <c r="B4" t="s">
        <v>77</v>
      </c>
      <c r="E4">
        <v>3</v>
      </c>
      <c r="F4" t="s">
        <v>217</v>
      </c>
    </row>
    <row r="5" spans="1:6" x14ac:dyDescent="0.25">
      <c r="A5" t="s">
        <v>119</v>
      </c>
      <c r="B5" t="s">
        <v>78</v>
      </c>
      <c r="E5">
        <v>4</v>
      </c>
      <c r="F5" t="s">
        <v>218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214</v>
      </c>
      <c r="E7">
        <v>1</v>
      </c>
      <c r="F7" t="s">
        <v>213</v>
      </c>
    </row>
    <row r="8" spans="1:6" x14ac:dyDescent="0.25">
      <c r="A8" t="s">
        <v>122</v>
      </c>
      <c r="B8" t="s">
        <v>81</v>
      </c>
      <c r="E8">
        <v>2</v>
      </c>
      <c r="F8" t="s">
        <v>215</v>
      </c>
    </row>
    <row r="9" spans="1:6" x14ac:dyDescent="0.25">
      <c r="A9" t="s">
        <v>123</v>
      </c>
      <c r="B9" t="s">
        <v>82</v>
      </c>
      <c r="E9">
        <v>3</v>
      </c>
      <c r="F9" t="s">
        <v>219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Joseph Yang</cp:lastModifiedBy>
  <dcterms:created xsi:type="dcterms:W3CDTF">2016-02-26T18:50:06Z</dcterms:created>
  <dcterms:modified xsi:type="dcterms:W3CDTF">2016-07-18T01:03:38Z</dcterms:modified>
</cp:coreProperties>
</file>